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1AEACEA3-1461-44EB-8AE9-77AE9A489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.1" sheetId="2" r:id="rId2"/>
    <sheet name="Q2" sheetId="3" r:id="rId3"/>
    <sheet name="Q.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5" r:id="rId13"/>
    <sheet name="Q13" sheetId="16" r:id="rId14"/>
    <sheet name="Q.14" sheetId="17" r:id="rId15"/>
    <sheet name="Q15" sheetId="18" r:id="rId16"/>
    <sheet name="Q16" sheetId="19" r:id="rId17"/>
    <sheet name="Q.17" sheetId="20" r:id="rId18"/>
    <sheet name="Q18" sheetId="21" r:id="rId19"/>
    <sheet name="Q19" sheetId="22" r:id="rId20"/>
    <sheet name="Q20" sheetId="2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1" l="1"/>
  <c r="E46" i="4"/>
</calcChain>
</file>

<file path=xl/sharedStrings.xml><?xml version="1.0" encoding="utf-8"?>
<sst xmlns="http://schemas.openxmlformats.org/spreadsheetml/2006/main" count="4262" uniqueCount="103">
  <si>
    <t>Order_ID</t>
  </si>
  <si>
    <t>Date</t>
  </si>
  <si>
    <t>Region</t>
  </si>
  <si>
    <t>Category</t>
  </si>
  <si>
    <t>Product</t>
  </si>
  <si>
    <t>Quantity</t>
  </si>
  <si>
    <t>Unit_Price</t>
  </si>
  <si>
    <t>Total_Sales</t>
  </si>
  <si>
    <t>Salesperson</t>
  </si>
  <si>
    <t>ORD1001</t>
  </si>
  <si>
    <t>East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</si>
  <si>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</si>
  <si>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</si>
  <si>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</si>
  <si>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</si>
  <si>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</si>
  <si>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</si>
  <si>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</si>
  <si>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</si>
  <si>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</si>
  <si>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</si>
  <si>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</si>
  <si>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North</t>
  </si>
  <si>
    <t>Mobile</t>
  </si>
  <si>
    <t>ORD1005</t>
  </si>
  <si>
    <t>South</t>
  </si>
  <si>
    <t>ORD1006</t>
  </si>
  <si>
    <t>Laptop</t>
  </si>
  <si>
    <t>Sneha</t>
  </si>
  <si>
    <t>ORD1007</t>
  </si>
  <si>
    <t>Mouse</t>
  </si>
  <si>
    <t>ORD1009</t>
  </si>
  <si>
    <t>West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</si>
  <si>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</si>
  <si>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</si>
  <si>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</si>
  <si>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</si>
  <si>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</si>
  <si>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</si>
  <si>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</si>
  <si>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</si>
  <si>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</si>
  <si>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</si>
  <si>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</si>
  <si>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</si>
  <si>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</si>
  <si>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</si>
  <si>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</si>
  <si>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</si>
  <si>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</si>
  <si>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</si>
  <si>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</si>
  <si>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</si>
  <si>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</si>
  <si>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</si>
  <si>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</si>
  <si>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</si>
  <si>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</si>
  <si>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</si>
  <si>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</si>
  <si>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</si>
  <si>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</si>
  <si>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Avg_quantity</t>
  </si>
  <si>
    <t>Highlight all Total_Sales &gt; 500000 in the Total_Sales column.</t>
  </si>
  <si>
    <t>Apply color to Unit_Price &lt; 10000.</t>
  </si>
  <si>
    <t>Highlight cells in Quantity where value is greater than average</t>
  </si>
  <si>
    <t xml:space="preserve">average of quentity </t>
  </si>
  <si>
    <t>Apply conditional formatting to show duplicate Order_IDs.</t>
  </si>
  <si>
    <t>Highlight blank cells in the Salesperson column.</t>
  </si>
  <si>
    <t>Apply formatting if Product contains the word "Laptop".</t>
  </si>
  <si>
    <t>Highlight top 10 highest values in Total_Sales.</t>
  </si>
  <si>
    <t>Apply color scale (gradient) on Total_Sales.</t>
  </si>
  <si>
    <t>Highlight values in Quantity between 5 and 8.</t>
  </si>
  <si>
    <t>Highlight cells where Category = "Electronics".</t>
  </si>
  <si>
    <t>Highlight entire row where Total_Sales &gt; 400000.</t>
  </si>
  <si>
    <t>Highlight rows where Region = "North".</t>
  </si>
  <si>
    <t>Highlight rows where Product = "Mobile" AND Quantity &gt; 5.</t>
  </si>
  <si>
    <t>Highlight entire row if Unit_Price &gt; 50000.</t>
  </si>
  <si>
    <t>Apply formatting to rows where Salesperson = "Amit"</t>
  </si>
  <si>
    <t>Highlight rows where Date is in last 30 days.</t>
  </si>
  <si>
    <t>Highlight rows where Total_Sales is maximum in dataset</t>
  </si>
  <si>
    <t>Apply formatting if Category = "Accessories" AND Total_Sales &lt; 100000</t>
  </si>
  <si>
    <t>Highlight rows where Quantity * Unit_Price ≠ Total_Sales (data validation scenario).</t>
  </si>
  <si>
    <t>Ans.1.select H2:H41 → Go to Home → Conditional Formatting → Highlight Cells Rules → Greater Than → enter 500000 → select Format → choose colour → OK.</t>
  </si>
  <si>
    <t>Ans.2.select G2:G41 → Go to Home → Conditional Formatting → Highlight Cells Rules → Less Than → enter 10000 → select Format → choose colour → OK.</t>
  </si>
  <si>
    <t>Ans.3.select F2:F41 → Go to Home → Conditional Formatting → Top/Bottom Rules → Above Average → select Format → choose colour → OK.</t>
  </si>
  <si>
    <t>Ans.4.select A2:A41 → Go to Home → Conditional Formatting → Highlight Cells Rules → Duplicate Values → select Duplicate → choose colour → OK.</t>
  </si>
  <si>
    <t>Go to Home → Conditional Formatting → Highlight Cells Rules → More Rules → Format only cells that contain → Blanks → select Format → choose colour → OK.</t>
  </si>
  <si>
    <t>Ans.6.select E2:E41 → Go to Home → Conditional Formatting → Highlight Cells Rules → Text that Contains → enter Laptop → select Format → choose colour → OK.</t>
  </si>
  <si>
    <t>Ans.7.select H2:H41 → Go to Home → Conditional Formatting → Top/Bottom Rules → Top 10 Items → select Format → choose colour → OK.</t>
  </si>
  <si>
    <t>Ans.8.select H2:H41 → Go to Home → Conditional Formatting → Color Scales → select any Color Scale (Gradient).</t>
  </si>
  <si>
    <t>Ans.9.select F2:F41 → Go to Home → Conditional Formatting → Highlight Cells Rules → Between → enter 5 and 8 → select Format → choose colour → OK</t>
  </si>
  <si>
    <t>Ans.10.select D2:D41 → Go to Home → Conditional Formatting → Highlight Cells Rules → Text that Contains → enter Electronics → select Format → choose colour → OK.</t>
  </si>
  <si>
    <r>
      <t xml:space="preserve">Ans.11.select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=$H2&gt;400000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</si>
  <si>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Ans.12.select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=$C2="North"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</si>
  <si>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Ans.13.select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=$F2&lt;3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</si>
  <si>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Ans.14.select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=AND($E2="Mobile",$F2&gt;5)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</si>
  <si>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Ans.15.select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=$G2&gt;50000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</si>
  <si>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Ans.16.select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=$I2="Amit"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</si>
  <si>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Ans.17.select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=AND($B2&gt;=TODAY()-30,$B2&lt;=TODAY())</t>
    </r>
    <r>
      <rPr>
        <sz val="11"/>
        <color theme="1"/>
        <rFont val="Calibri"/>
        <family val="2"/>
        <scheme val="minor"/>
      </rPr>
      <t xml:space="preserve"> → select Format → choose colour → OK</t>
    </r>
  </si>
  <si>
    <r>
      <t xml:space="preserve">Ans.18.select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=$H2=MAX($H$2:$H$41)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</si>
  <si>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Ans.19.select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=AND($D2="Accessories",$H2&lt;100000)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</si>
  <si>
    <r>
      <t xml:space="preserve">Ans.20.select A2:I41 → Go to Home → Conditional Formatting → New Rule → Use the formula to determine which cells to format → enter formula:- </t>
    </r>
    <r>
      <rPr>
        <sz val="10"/>
        <color theme="1"/>
        <rFont val="Arial Unicode MS"/>
        <family val="2"/>
      </rPr>
      <t>=$F2*$G2&lt;&gt;$H2</t>
    </r>
    <r>
      <rPr>
        <sz val="11"/>
        <color theme="1"/>
        <rFont val="Calibri"/>
        <family val="2"/>
        <scheme val="minor"/>
      </rPr>
      <t xml:space="preserve"> → select Format → choose colour → OK.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</si>
</sst>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72">
    <dxf>
      <fill>
        <patternFill>
          <bgColor rgb="FFFF0000"/>
        </patternFill>
      </fill>
    </dxf>
    <dxf>
      <font>
        <color rgb="FF7030A0"/>
      </font>
    </dxf>
    <dxf>
      <font>
        <color rgb="FF7030A0"/>
      </font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206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22" workbookViewId="0">
      <selection activeCell="F44" sqref="F44"/>
    </sheetView>
  </sheetViews>
  <sheetFormatPr defaultRowHeight="14.4" x14ac:dyDescent="0.3"/>
  <cols>
    <col min="1" max="1" width="16.21875" customWidth="1"/>
    <col min="2" max="2" width="22.5546875" customWidth="1"/>
    <col min="3" max="8" width="12.5546875"/>
    <col min="9" max="9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3" spans="1:9" x14ac:dyDescent="0.3">
      <c r="E43" s="5" t="s">
        <v>62</v>
      </c>
      <c r="F43">
        <f>AVERAGE(F2:F41)</f>
        <v>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A5EC-0568-4107-B445-C1E928056238}">
  <dimension ref="A1:I45"/>
  <sheetViews>
    <sheetView topLeftCell="A10" zoomScale="55" workbookViewId="0">
      <selection activeCell="H51" sqref="H51"/>
    </sheetView>
  </sheetViews>
  <sheetFormatPr defaultRowHeight="14.4" x14ac:dyDescent="0.3"/>
  <cols>
    <col min="2" max="2" width="18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3" spans="1:9" x14ac:dyDescent="0.3">
      <c r="A43" t="s">
        <v>63</v>
      </c>
    </row>
    <row r="45" spans="1:9" x14ac:dyDescent="0.3">
      <c r="A45" t="s">
        <v>83</v>
      </c>
    </row>
  </sheetData>
  <conditionalFormatting sqref="H2:H41">
    <cfRule type="cellIs" dxfId="0" priority="1" operator="greaterThan">
      <formula>500000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12C7-5DB2-47B4-966C-6989AFD58897}">
  <dimension ref="A1:I46"/>
  <sheetViews>
    <sheetView topLeftCell="A35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64</v>
      </c>
    </row>
    <row r="46" spans="1:9" x14ac:dyDescent="0.3">
      <c r="A46" t="s">
        <v>84</v>
      </c>
    </row>
  </sheetData>
  <conditionalFormatting sqref="G2:G41">
    <cfRule type="cellIs" dxfId="71" priority="1" operator="lessThan">
      <formula>10000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3D50-C0BA-48B7-AEBC-FA31E266573A}">
  <dimension ref="A1:I46"/>
  <sheetViews>
    <sheetView topLeftCell="A32" workbookViewId="0">
      <selection activeCell="A45" sqref="A4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3" spans="1:9" x14ac:dyDescent="0.3">
      <c r="A43" t="s">
        <v>65</v>
      </c>
    </row>
    <row r="45" spans="1:9" x14ac:dyDescent="0.3">
      <c r="A45" t="s">
        <v>85</v>
      </c>
    </row>
    <row r="46" spans="1:9" x14ac:dyDescent="0.3">
      <c r="D46" t="s">
        <v>66</v>
      </c>
      <c r="E46">
        <f>AVERAGE(F2:F41)</f>
        <v>5.15</v>
      </c>
    </row>
  </sheetData>
  <conditionalFormatting sqref="F2:F41">
    <cfRule type="aboveAverage" dxfId="7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8742-C4FF-4FD4-8E94-6457196B8C9B}">
  <dimension ref="A1:I46"/>
  <sheetViews>
    <sheetView topLeftCell="A27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67</v>
      </c>
    </row>
    <row r="46" spans="1:9" x14ac:dyDescent="0.3">
      <c r="A46" t="s">
        <v>86</v>
      </c>
    </row>
  </sheetData>
  <conditionalFormatting sqref="A2:A41">
    <cfRule type="duplicateValues" dxfId="6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1454-E492-4D72-AD82-D0A9D043E257}">
  <dimension ref="A1:I45"/>
  <sheetViews>
    <sheetView topLeftCell="A24" workbookViewId="0">
      <selection activeCell="A45" sqref="A4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5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68</v>
      </c>
    </row>
    <row r="45" spans="1:9" x14ac:dyDescent="0.3">
      <c r="A45" t="s">
        <v>87</v>
      </c>
    </row>
  </sheetData>
  <conditionalFormatting sqref="I2:I41">
    <cfRule type="containsBlanks" dxfId="68" priority="1">
      <formula>LEN(TRIM(I2))=0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230F-9C65-434E-A58E-FA6CD3532CC3}">
  <dimension ref="A1:I46"/>
  <sheetViews>
    <sheetView topLeftCell="A29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69</v>
      </c>
    </row>
    <row r="46" spans="1:9" x14ac:dyDescent="0.3">
      <c r="A46" t="s">
        <v>88</v>
      </c>
    </row>
  </sheetData>
  <conditionalFormatting sqref="E2:E41">
    <cfRule type="containsText" dxfId="67" priority="1" operator="containsText" text="laptop">
      <formula>NOT(ISERROR(SEARCH("laptop",E2)))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8A38-0904-4530-A56D-29B58F5F4610}">
  <dimension ref="A1:I46"/>
  <sheetViews>
    <sheetView topLeftCell="A24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70</v>
      </c>
    </row>
    <row r="46" spans="1:9" x14ac:dyDescent="0.3">
      <c r="A46" t="s">
        <v>89</v>
      </c>
    </row>
  </sheetData>
  <conditionalFormatting sqref="H2:H41">
    <cfRule type="top10" dxfId="66" priority="1" rank="1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455F-B583-4609-B417-3050869AB1AF}">
  <dimension ref="A1:I47"/>
  <sheetViews>
    <sheetView topLeftCell="A24" workbookViewId="0">
      <selection activeCell="A47" sqref="A4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5" spans="1:9" x14ac:dyDescent="0.3">
      <c r="A45" t="s">
        <v>71</v>
      </c>
    </row>
    <row r="47" spans="1:9" x14ac:dyDescent="0.3">
      <c r="A47" t="s">
        <v>90</v>
      </c>
    </row>
  </sheetData>
  <conditionalFormatting sqref="H2:H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AE29-EA27-4322-881A-00ED34356859}">
  <dimension ref="A1:I45"/>
  <sheetViews>
    <sheetView topLeftCell="A24" workbookViewId="0">
      <selection activeCell="A45" sqref="A45"/>
    </sheetView>
  </sheetViews>
  <sheetFormatPr defaultRowHeight="14.4" x14ac:dyDescent="0.3"/>
  <cols>
    <col min="1" max="1" width="3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s="5" t="s">
        <v>72</v>
      </c>
    </row>
    <row r="45" spans="1:9" x14ac:dyDescent="0.3">
      <c r="A45" t="s">
        <v>91</v>
      </c>
    </row>
  </sheetData>
  <conditionalFormatting sqref="F2:F41">
    <cfRule type="cellIs" dxfId="65" priority="1" operator="between">
      <formula>5</formula>
      <formula>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7F29-1E8C-4943-8EE4-98A9DD1A010A}">
  <dimension ref="A1:I46"/>
  <sheetViews>
    <sheetView topLeftCell="A29" workbookViewId="0">
      <selection activeCell="B46" sqref="B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B44" t="s">
        <v>73</v>
      </c>
    </row>
    <row r="46" spans="1:9" x14ac:dyDescent="0.3">
      <c r="B46" t="s">
        <v>92</v>
      </c>
    </row>
  </sheetData>
  <conditionalFormatting sqref="D2:D41">
    <cfRule type="containsText" dxfId="64" priority="1" operator="containsText" text="electronics">
      <formula>NOT(ISERROR(SEARCH("electronics",D2)))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52BD-C57E-4CD4-BEFA-769A6386E725}">
  <dimension ref="A1:I46"/>
  <sheetViews>
    <sheetView topLeftCell="A25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74</v>
      </c>
    </row>
    <row r="46" spans="1:9" ht="15" x14ac:dyDescent="0.35">
      <c r="A46" t="s">
        <v>93</v>
      </c>
    </row>
  </sheetData>
  <conditionalFormatting sqref="A2:I41">
    <cfRule type="expression" dxfId="4" priority="1">
      <formula>$H2&gt;400000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A4BE-639E-4B7B-A51A-D38355428936}">
  <dimension ref="A1:I47"/>
  <sheetViews>
    <sheetView topLeftCell="A34" workbookViewId="0">
      <selection activeCell="A47" sqref="A4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5" spans="1:9" x14ac:dyDescent="0.3">
      <c r="A45" t="s">
        <v>75</v>
      </c>
    </row>
    <row r="47" spans="1:9" ht="15" x14ac:dyDescent="0.35">
      <c r="A47" t="s">
        <v>94</v>
      </c>
    </row>
  </sheetData>
  <conditionalFormatting sqref="A2:B41 D2:I41">
    <cfRule type="containsText" dxfId="62" priority="4" operator="containsText" text="north">
      <formula>NOT(ISERROR(SEARCH("north",A2)))</formula>
    </cfRule>
  </conditionalFormatting>
  <conditionalFormatting sqref="A2:I41">
    <cfRule type="expression" priority="2">
      <formula>"$C2""north"""</formula>
    </cfRule>
    <cfRule type="expression" dxfId="3" priority="1">
      <formula>$C2 = "North"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771D-A953-4BA4-9DB7-AA9083E7E3A5}">
  <dimension ref="A1:I44"/>
  <sheetViews>
    <sheetView topLeftCell="A24" workbookViewId="0">
      <selection activeCell="A44" sqref="A4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ht="15" x14ac:dyDescent="0.35">
      <c r="A44" t="s">
        <v>95</v>
      </c>
    </row>
  </sheetData>
  <conditionalFormatting sqref="A2:B41 D2:I41">
    <cfRule type="containsText" dxfId="60" priority="5" operator="containsText" text="north">
      <formula>NOT(ISERROR(SEARCH("north",A2)))</formula>
    </cfRule>
  </conditionalFormatting>
  <conditionalFormatting sqref="A2:I41">
    <cfRule type="expression" priority="4">
      <formula>"$C2""north"""</formula>
    </cfRule>
    <cfRule type="expression" priority="3">
      <formula>"$F2&gt;3"</formula>
    </cfRule>
    <cfRule type="expression" dxfId="59" priority="2">
      <formula>"$F2&gt;3"</formula>
    </cfRule>
    <cfRule type="expression" dxfId="58" priority="1">
      <formula>$F2&gt;3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B3B1-266E-46A9-AB2F-626A7F7BED6E}">
  <dimension ref="A1:I46"/>
  <sheetViews>
    <sheetView topLeftCell="A31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3" spans="1:9" x14ac:dyDescent="0.3">
      <c r="A43" t="s">
        <v>76</v>
      </c>
    </row>
    <row r="46" spans="1:9" ht="15" x14ac:dyDescent="0.35">
      <c r="A46" t="s">
        <v>96</v>
      </c>
    </row>
  </sheetData>
  <conditionalFormatting sqref="A2:B41 D2:I41">
    <cfRule type="containsText" dxfId="57" priority="10" operator="containsText" text="north">
      <formula>NOT(ISERROR(SEARCH("north",A2)))</formula>
    </cfRule>
  </conditionalFormatting>
  <conditionalFormatting sqref="A2:I41">
    <cfRule type="expression" priority="9">
      <formula>"$C2""north"""</formula>
    </cfRule>
    <cfRule type="expression" dxfId="56" priority="1">
      <formula>AND($E2="Mobile",$F2&gt;5)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0B9D-784E-4BDB-9615-82621454FFE6}">
  <dimension ref="A1:I46"/>
  <sheetViews>
    <sheetView topLeftCell="A39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77</v>
      </c>
    </row>
    <row r="46" spans="1:9" ht="15" x14ac:dyDescent="0.35">
      <c r="A46" t="s">
        <v>97</v>
      </c>
    </row>
  </sheetData>
  <conditionalFormatting sqref="A2:I41">
    <cfRule type="expression" dxfId="55" priority="1">
      <formula>$G2 &gt;50000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0424-9A71-4B84-9C6A-EAED174F594A}">
  <dimension ref="A1:I46"/>
  <sheetViews>
    <sheetView topLeftCell="A23" zoomScale="83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5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78</v>
      </c>
    </row>
    <row r="46" spans="1:9" ht="15" x14ac:dyDescent="0.35">
      <c r="A46" t="s">
        <v>98</v>
      </c>
    </row>
  </sheetData>
  <conditionalFormatting sqref="A2:I41">
    <cfRule type="expression" dxfId="54" priority="1">
      <formula>$I2 = "Amit"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4FA7-545B-4017-A353-D28BE98AF37F}">
  <dimension ref="A1:I46"/>
  <sheetViews>
    <sheetView topLeftCell="A24" workbookViewId="0">
      <selection activeCell="A46" sqref="A46"/>
    </sheetView>
  </sheetViews>
  <sheetFormatPr defaultRowHeight="14.4" x14ac:dyDescent="0.3"/>
  <cols>
    <col min="2" max="2" width="2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79</v>
      </c>
    </row>
    <row r="46" spans="1:9" ht="15" x14ac:dyDescent="0.35">
      <c r="A46" t="s">
        <v>99</v>
      </c>
    </row>
  </sheetData>
  <conditionalFormatting sqref="A2:I41">
    <cfRule type="expression" dxfId="13" priority="9">
      <formula>AND($B2 =  TODAY() -30, $B2 = TODAY())</formula>
    </cfRule>
    <cfRule type="expression" dxfId="14" priority="8">
      <formula>AND($B2 = TODAY()-30, $B2&lt;=TODAY())</formula>
    </cfRule>
    <cfRule type="expression" dxfId="15" priority="7">
      <formula>AND($B2&gt;=TODAY()-30,$B2&lt;=TODAY())</formula>
    </cfRule>
    <cfRule type="expression" dxfId="16" priority="6">
      <formula>AND($B2&gt;=TODAY()-30,$B2&lt;=TODAY())</formula>
    </cfRule>
    <cfRule type="expression" priority="5">
      <formula>AND($B2&gt;=TODAY()-30,$B2&lt;=TODAY())</formula>
    </cfRule>
    <cfRule type="expression" dxfId="17" priority="4">
      <formula>AND($B2&gt;=TODAY()-30,$B2&lt;=TODAY())</formula>
    </cfRule>
    <cfRule type="expression" dxfId="18" priority="3">
      <formula>AND($B2&gt;=TODAY()-30,$B2&lt;=TODAY())</formula>
    </cfRule>
    <cfRule type="expression" dxfId="19" priority="2">
      <formula>AND($B2&gt;=TODAY()-30,$B2&lt;=TODAY())</formula>
    </cfRule>
    <cfRule type="expression" dxfId="12" priority="1">
      <formula>AND($B2&gt;=DATE(2026,4,15),$B2&lt;=DATE(2026,5,15))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840E-5A49-4191-9D9E-FD227F7CDB76}">
  <dimension ref="A1:I46"/>
  <sheetViews>
    <sheetView topLeftCell="A24" workbookViewId="0">
      <selection activeCell="A46" sqref="A4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80</v>
      </c>
    </row>
    <row r="46" spans="1:9" ht="15" x14ac:dyDescent="0.35">
      <c r="A46" t="s">
        <v>100</v>
      </c>
    </row>
  </sheetData>
  <conditionalFormatting sqref="A2:I41">
    <cfRule type="expression" dxfId="39" priority="1">
      <formula>$H2= MAX($H2:H41)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FB7D-E55A-482A-BC4E-CC48F3B4137B}">
  <dimension ref="A1:I48"/>
  <sheetViews>
    <sheetView topLeftCell="A28" workbookViewId="0">
      <selection activeCell="A48" sqref="A4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40000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6" spans="1:9" x14ac:dyDescent="0.3">
      <c r="A46" t="s">
        <v>81</v>
      </c>
    </row>
    <row r="48" spans="1:9" ht="15" x14ac:dyDescent="0.35">
      <c r="A48" t="s">
        <v>101</v>
      </c>
    </row>
  </sheetData>
  <conditionalFormatting sqref="A2:I41">
    <cfRule type="expression" dxfId="38" priority="1">
      <formula>AND($D2 = "Accessories", $H2 &lt; 100000)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B5B4-0FC4-46B2-910B-8A7026E77E5B}">
  <dimension ref="A1:I46"/>
  <sheetViews>
    <sheetView topLeftCell="A31" zoomScale="79" workbookViewId="0">
      <selection activeCell="A46" sqref="A46"/>
    </sheetView>
  </sheetViews>
  <sheetFormatPr defaultRowHeight="14.4" x14ac:dyDescent="0.3"/>
  <cols>
    <col min="2" max="2" width="20.88671875" customWidth="1"/>
  </cols>
  <sheetData>
    <row r="1" spans="1:9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9</v>
      </c>
      <c r="B2" s="3">
        <v>46147.428668981483</v>
      </c>
      <c r="C2" s="4" t="s">
        <v>10</v>
      </c>
      <c r="D2" s="2" t="s">
        <v>11</v>
      </c>
      <c r="E2" s="5" t="s">
        <v>12</v>
      </c>
      <c r="F2" s="2">
        <v>5</v>
      </c>
      <c r="G2" s="2">
        <v>8000</v>
      </c>
      <c r="H2" s="2">
        <v>40001</v>
      </c>
      <c r="I2" s="2" t="s">
        <v>13</v>
      </c>
    </row>
    <row r="3" spans="1:9" x14ac:dyDescent="0.3">
      <c r="A3" s="2" t="s">
        <v>14</v>
      </c>
      <c r="B3" s="3">
        <v>46102.428668981483</v>
      </c>
      <c r="C3" s="2" t="s">
        <v>10</v>
      </c>
      <c r="D3" s="2" t="s">
        <v>15</v>
      </c>
      <c r="E3" s="2" t="s">
        <v>16</v>
      </c>
      <c r="F3" s="2">
        <v>5</v>
      </c>
      <c r="G3" s="2">
        <v>75000</v>
      </c>
      <c r="H3" s="2">
        <v>375000</v>
      </c>
      <c r="I3" s="2" t="s">
        <v>17</v>
      </c>
    </row>
    <row r="4" spans="1:9" x14ac:dyDescent="0.3">
      <c r="A4" s="2" t="s">
        <v>18</v>
      </c>
      <c r="B4" s="3">
        <v>46147.428668981483</v>
      </c>
      <c r="C4" s="2" t="s">
        <v>10</v>
      </c>
      <c r="D4" s="2" t="s">
        <v>19</v>
      </c>
      <c r="E4" s="2" t="s">
        <v>20</v>
      </c>
      <c r="F4" s="2">
        <v>3</v>
      </c>
      <c r="G4" s="2">
        <v>8000</v>
      </c>
      <c r="H4" s="2">
        <v>24000</v>
      </c>
      <c r="I4" s="2"/>
    </row>
    <row r="5" spans="1:9" x14ac:dyDescent="0.3">
      <c r="A5" s="2" t="s">
        <v>21</v>
      </c>
      <c r="B5" s="3">
        <v>46103.428668981483</v>
      </c>
      <c r="C5" s="2" t="s">
        <v>22</v>
      </c>
      <c r="D5" s="2" t="s">
        <v>11</v>
      </c>
      <c r="E5" s="2" t="s">
        <v>23</v>
      </c>
      <c r="F5" s="2">
        <v>8</v>
      </c>
      <c r="G5" s="2">
        <v>25000</v>
      </c>
      <c r="H5" s="2">
        <v>200000</v>
      </c>
      <c r="I5" s="2"/>
    </row>
    <row r="6" spans="1:9" x14ac:dyDescent="0.3">
      <c r="A6" s="2" t="s">
        <v>24</v>
      </c>
      <c r="B6" s="3">
        <v>46134.428668981483</v>
      </c>
      <c r="C6" s="2" t="s">
        <v>25</v>
      </c>
      <c r="D6" s="2" t="s">
        <v>11</v>
      </c>
      <c r="E6" s="2" t="s">
        <v>23</v>
      </c>
      <c r="F6" s="2">
        <v>6</v>
      </c>
      <c r="G6" s="2">
        <v>75000</v>
      </c>
      <c r="H6" s="2">
        <v>450000</v>
      </c>
      <c r="I6" s="2" t="s">
        <v>13</v>
      </c>
    </row>
    <row r="7" spans="1:9" x14ac:dyDescent="0.3">
      <c r="A7" s="2" t="s">
        <v>26</v>
      </c>
      <c r="B7" s="3">
        <v>46109.428668981483</v>
      </c>
      <c r="C7" s="2" t="s">
        <v>25</v>
      </c>
      <c r="D7" s="2" t="s">
        <v>15</v>
      </c>
      <c r="E7" s="5" t="s">
        <v>27</v>
      </c>
      <c r="F7" s="2">
        <v>10</v>
      </c>
      <c r="G7" s="2">
        <v>25000</v>
      </c>
      <c r="H7" s="2">
        <v>250000</v>
      </c>
      <c r="I7" s="2" t="s">
        <v>28</v>
      </c>
    </row>
    <row r="8" spans="1:9" x14ac:dyDescent="0.3">
      <c r="A8" s="2" t="s">
        <v>29</v>
      </c>
      <c r="B8" s="3">
        <v>46122.428668981483</v>
      </c>
      <c r="C8" s="2" t="s">
        <v>10</v>
      </c>
      <c r="D8" s="2" t="s">
        <v>15</v>
      </c>
      <c r="E8" s="2" t="s">
        <v>16</v>
      </c>
      <c r="F8" s="2">
        <v>2</v>
      </c>
      <c r="G8" s="2">
        <v>12000</v>
      </c>
      <c r="H8" s="2">
        <v>24000</v>
      </c>
      <c r="I8" s="2" t="s">
        <v>13</v>
      </c>
    </row>
    <row r="9" spans="1:9" x14ac:dyDescent="0.3">
      <c r="A9" s="2" t="s">
        <v>29</v>
      </c>
      <c r="B9" s="3">
        <v>46095.428668981483</v>
      </c>
      <c r="C9" s="2" t="s">
        <v>25</v>
      </c>
      <c r="D9" s="2" t="s">
        <v>19</v>
      </c>
      <c r="E9" s="2" t="s">
        <v>30</v>
      </c>
      <c r="F9" s="2">
        <v>5</v>
      </c>
      <c r="G9" s="2">
        <v>8000</v>
      </c>
      <c r="H9" s="2">
        <v>40000</v>
      </c>
      <c r="I9" s="2" t="s">
        <v>28</v>
      </c>
    </row>
    <row r="10" spans="1:9" x14ac:dyDescent="0.3">
      <c r="A10" s="2" t="s">
        <v>31</v>
      </c>
      <c r="B10" s="3">
        <v>46106.428668981483</v>
      </c>
      <c r="C10" s="2" t="s">
        <v>32</v>
      </c>
      <c r="D10" s="2" t="s">
        <v>15</v>
      </c>
      <c r="E10" s="2" t="s">
        <v>30</v>
      </c>
      <c r="F10" s="2">
        <v>10</v>
      </c>
      <c r="G10" s="2">
        <v>25000</v>
      </c>
      <c r="H10" s="2">
        <v>250000</v>
      </c>
      <c r="I10" s="2" t="s">
        <v>33</v>
      </c>
    </row>
    <row r="11" spans="1:9" x14ac:dyDescent="0.3">
      <c r="A11" s="2" t="s">
        <v>34</v>
      </c>
      <c r="B11" s="3">
        <v>46118.428668981483</v>
      </c>
      <c r="C11" s="2" t="s">
        <v>25</v>
      </c>
      <c r="D11" s="2" t="s">
        <v>19</v>
      </c>
      <c r="E11" s="2" t="s">
        <v>27</v>
      </c>
      <c r="F11" s="2">
        <v>1</v>
      </c>
      <c r="G11" s="2">
        <v>12000</v>
      </c>
      <c r="H11" s="2">
        <v>12000</v>
      </c>
      <c r="I11" s="2" t="s">
        <v>33</v>
      </c>
    </row>
    <row r="12" spans="1:9" x14ac:dyDescent="0.3">
      <c r="A12" s="2" t="s">
        <v>35</v>
      </c>
      <c r="B12" s="3">
        <v>46146.428668981483</v>
      </c>
      <c r="C12" s="2" t="s">
        <v>25</v>
      </c>
      <c r="D12" s="2" t="s">
        <v>11</v>
      </c>
      <c r="E12" s="2" t="s">
        <v>16</v>
      </c>
      <c r="F12" s="2">
        <v>5</v>
      </c>
      <c r="G12" s="2">
        <v>8000</v>
      </c>
      <c r="H12" s="2">
        <v>40000</v>
      </c>
      <c r="I12" s="2" t="s">
        <v>13</v>
      </c>
    </row>
    <row r="13" spans="1:9" x14ac:dyDescent="0.3">
      <c r="A13" s="2" t="s">
        <v>36</v>
      </c>
      <c r="B13" s="3">
        <v>46119.428668981483</v>
      </c>
      <c r="C13" s="2" t="s">
        <v>32</v>
      </c>
      <c r="D13" s="2" t="s">
        <v>19</v>
      </c>
      <c r="E13" s="2" t="s">
        <v>27</v>
      </c>
      <c r="F13" s="2">
        <v>3</v>
      </c>
      <c r="G13" s="2">
        <v>75000</v>
      </c>
      <c r="H13" s="2">
        <v>225000</v>
      </c>
      <c r="I13" s="2" t="s">
        <v>37</v>
      </c>
    </row>
    <row r="14" spans="1:9" x14ac:dyDescent="0.3">
      <c r="A14" s="2" t="s">
        <v>38</v>
      </c>
      <c r="B14" s="3">
        <v>46107.428668981483</v>
      </c>
      <c r="C14" s="2" t="s">
        <v>32</v>
      </c>
      <c r="D14" s="2" t="s">
        <v>19</v>
      </c>
      <c r="E14" s="2" t="s">
        <v>12</v>
      </c>
      <c r="F14" s="2">
        <v>9</v>
      </c>
      <c r="G14" s="2">
        <v>25000</v>
      </c>
      <c r="H14" s="2">
        <v>225000</v>
      </c>
      <c r="I14" s="2" t="s">
        <v>17</v>
      </c>
    </row>
    <row r="15" spans="1:9" x14ac:dyDescent="0.3">
      <c r="A15" s="2" t="s">
        <v>39</v>
      </c>
      <c r="B15" s="3">
        <v>46153.428668981483</v>
      </c>
      <c r="C15" s="2" t="s">
        <v>22</v>
      </c>
      <c r="D15" s="2" t="s">
        <v>19</v>
      </c>
      <c r="E15" s="2" t="s">
        <v>30</v>
      </c>
      <c r="F15" s="2">
        <v>6</v>
      </c>
      <c r="G15" s="2">
        <v>25000</v>
      </c>
      <c r="H15" s="2">
        <v>150000</v>
      </c>
      <c r="I15" s="2"/>
    </row>
    <row r="16" spans="1:9" x14ac:dyDescent="0.3">
      <c r="A16" s="2" t="s">
        <v>40</v>
      </c>
      <c r="B16" s="3">
        <v>46108.428668981483</v>
      </c>
      <c r="C16" s="2" t="s">
        <v>22</v>
      </c>
      <c r="D16" s="2" t="s">
        <v>19</v>
      </c>
      <c r="E16" s="2" t="s">
        <v>30</v>
      </c>
      <c r="F16" s="2">
        <v>1</v>
      </c>
      <c r="G16" s="2">
        <v>8000</v>
      </c>
      <c r="H16" s="2">
        <v>8000</v>
      </c>
      <c r="I16" s="2" t="s">
        <v>13</v>
      </c>
    </row>
    <row r="17" spans="1:9" x14ac:dyDescent="0.3">
      <c r="A17" s="2" t="s">
        <v>40</v>
      </c>
      <c r="B17" s="3">
        <v>46120.428668981483</v>
      </c>
      <c r="C17" s="2" t="s">
        <v>32</v>
      </c>
      <c r="D17" s="2" t="s">
        <v>19</v>
      </c>
      <c r="E17" s="2" t="s">
        <v>12</v>
      </c>
      <c r="F17" s="2">
        <v>8</v>
      </c>
      <c r="G17" s="2">
        <v>60000</v>
      </c>
      <c r="H17" s="2">
        <v>480000</v>
      </c>
      <c r="I17" s="2" t="s">
        <v>17</v>
      </c>
    </row>
    <row r="18" spans="1:9" x14ac:dyDescent="0.3">
      <c r="A18" s="2" t="s">
        <v>41</v>
      </c>
      <c r="B18" s="3">
        <v>46133.428668981483</v>
      </c>
      <c r="C18" s="2" t="s">
        <v>22</v>
      </c>
      <c r="D18" s="2" t="s">
        <v>15</v>
      </c>
      <c r="E18" s="2" t="s">
        <v>30</v>
      </c>
      <c r="F18" s="2">
        <v>2</v>
      </c>
      <c r="G18" s="2">
        <v>60000</v>
      </c>
      <c r="H18" s="2">
        <v>120000</v>
      </c>
      <c r="I18" s="2"/>
    </row>
    <row r="19" spans="1:9" x14ac:dyDescent="0.3">
      <c r="A19" s="2" t="s">
        <v>42</v>
      </c>
      <c r="B19" s="3">
        <v>46095.428668981483</v>
      </c>
      <c r="C19" s="2" t="s">
        <v>25</v>
      </c>
      <c r="D19" s="2" t="s">
        <v>19</v>
      </c>
      <c r="E19" s="2" t="s">
        <v>30</v>
      </c>
      <c r="F19" s="2">
        <v>4</v>
      </c>
      <c r="G19" s="2">
        <v>8000</v>
      </c>
      <c r="H19" s="2">
        <v>32000</v>
      </c>
      <c r="I19" s="2"/>
    </row>
    <row r="20" spans="1:9" x14ac:dyDescent="0.3">
      <c r="A20" s="2" t="s">
        <v>43</v>
      </c>
      <c r="B20" s="3">
        <v>46145.428668981483</v>
      </c>
      <c r="C20" s="2" t="s">
        <v>10</v>
      </c>
      <c r="D20" s="2" t="s">
        <v>15</v>
      </c>
      <c r="E20" s="2" t="s">
        <v>30</v>
      </c>
      <c r="F20" s="2">
        <v>4</v>
      </c>
      <c r="G20" s="2">
        <v>60000</v>
      </c>
      <c r="H20" s="2">
        <v>240000</v>
      </c>
      <c r="I20" s="2" t="s">
        <v>33</v>
      </c>
    </row>
    <row r="21" spans="1:9" x14ac:dyDescent="0.3">
      <c r="A21" s="2" t="s">
        <v>44</v>
      </c>
      <c r="B21" s="3">
        <v>46108.428668981483</v>
      </c>
      <c r="C21" s="2" t="s">
        <v>25</v>
      </c>
      <c r="D21" s="2" t="s">
        <v>11</v>
      </c>
      <c r="E21" s="2" t="s">
        <v>12</v>
      </c>
      <c r="F21" s="2">
        <v>4</v>
      </c>
      <c r="G21" s="2">
        <v>60000</v>
      </c>
      <c r="H21" s="2">
        <v>240000</v>
      </c>
      <c r="I21" s="2" t="s">
        <v>33</v>
      </c>
    </row>
    <row r="22" spans="1:9" x14ac:dyDescent="0.3">
      <c r="A22" s="2" t="s">
        <v>45</v>
      </c>
      <c r="B22" s="3">
        <v>46129.428668981483</v>
      </c>
      <c r="C22" s="2" t="s">
        <v>32</v>
      </c>
      <c r="D22" s="2" t="s">
        <v>19</v>
      </c>
      <c r="E22" s="2" t="s">
        <v>20</v>
      </c>
      <c r="F22" s="2">
        <v>8</v>
      </c>
      <c r="G22" s="2">
        <v>8000</v>
      </c>
      <c r="H22" s="2">
        <v>64000</v>
      </c>
      <c r="I22" s="2" t="s">
        <v>13</v>
      </c>
    </row>
    <row r="23" spans="1:9" x14ac:dyDescent="0.3">
      <c r="A23" s="2" t="s">
        <v>46</v>
      </c>
      <c r="B23" s="3">
        <v>46119.428668981483</v>
      </c>
      <c r="C23" s="2" t="s">
        <v>22</v>
      </c>
      <c r="D23" s="2" t="s">
        <v>19</v>
      </c>
      <c r="E23" s="2" t="s">
        <v>12</v>
      </c>
      <c r="F23" s="2">
        <v>9</v>
      </c>
      <c r="G23" s="2">
        <v>12000</v>
      </c>
      <c r="H23" s="2">
        <v>108000</v>
      </c>
      <c r="I23" s="2" t="s">
        <v>33</v>
      </c>
    </row>
    <row r="24" spans="1:9" x14ac:dyDescent="0.3">
      <c r="A24" s="2" t="s">
        <v>47</v>
      </c>
      <c r="B24" s="3">
        <v>46119.428668981483</v>
      </c>
      <c r="C24" s="2" t="s">
        <v>10</v>
      </c>
      <c r="D24" s="2" t="s">
        <v>19</v>
      </c>
      <c r="E24" s="2" t="s">
        <v>20</v>
      </c>
      <c r="F24" s="2">
        <v>4</v>
      </c>
      <c r="G24" s="2">
        <v>75000</v>
      </c>
      <c r="H24" s="2">
        <v>300000</v>
      </c>
      <c r="I24" s="2" t="s">
        <v>33</v>
      </c>
    </row>
    <row r="25" spans="1:9" x14ac:dyDescent="0.3">
      <c r="A25" s="2" t="s">
        <v>47</v>
      </c>
      <c r="B25" s="3">
        <v>46130.428668981483</v>
      </c>
      <c r="C25" s="2" t="s">
        <v>25</v>
      </c>
      <c r="D25" s="2" t="s">
        <v>11</v>
      </c>
      <c r="E25" s="2" t="s">
        <v>20</v>
      </c>
      <c r="F25" s="2">
        <v>8</v>
      </c>
      <c r="G25" s="2">
        <v>75000</v>
      </c>
      <c r="H25" s="2">
        <v>600000</v>
      </c>
      <c r="I25" s="2" t="s">
        <v>28</v>
      </c>
    </row>
    <row r="26" spans="1:9" x14ac:dyDescent="0.3">
      <c r="A26" s="2" t="s">
        <v>48</v>
      </c>
      <c r="B26" s="3">
        <v>46126.428668981483</v>
      </c>
      <c r="C26" s="2" t="s">
        <v>25</v>
      </c>
      <c r="D26" s="2" t="s">
        <v>11</v>
      </c>
      <c r="E26" s="2" t="s">
        <v>30</v>
      </c>
      <c r="F26" s="2">
        <v>5</v>
      </c>
      <c r="G26" s="2">
        <v>8000</v>
      </c>
      <c r="H26" s="2">
        <v>40000</v>
      </c>
      <c r="I26" s="2" t="s">
        <v>17</v>
      </c>
    </row>
    <row r="27" spans="1:9" x14ac:dyDescent="0.3">
      <c r="A27" s="2" t="s">
        <v>49</v>
      </c>
      <c r="B27" s="3">
        <v>46142.428668981483</v>
      </c>
      <c r="C27" s="2" t="s">
        <v>22</v>
      </c>
      <c r="D27" s="2" t="s">
        <v>11</v>
      </c>
      <c r="E27" s="2" t="s">
        <v>27</v>
      </c>
      <c r="F27" s="2">
        <v>2</v>
      </c>
      <c r="G27" s="2">
        <v>12000</v>
      </c>
      <c r="H27" s="2">
        <v>24000</v>
      </c>
      <c r="I27" s="2" t="s">
        <v>37</v>
      </c>
    </row>
    <row r="28" spans="1:9" x14ac:dyDescent="0.3">
      <c r="A28" s="2" t="s">
        <v>50</v>
      </c>
      <c r="B28" s="3">
        <v>46113.428668981483</v>
      </c>
      <c r="C28" s="2" t="s">
        <v>10</v>
      </c>
      <c r="D28" s="2" t="s">
        <v>15</v>
      </c>
      <c r="E28" s="2" t="s">
        <v>20</v>
      </c>
      <c r="F28" s="2">
        <v>4</v>
      </c>
      <c r="G28" s="2">
        <v>12000</v>
      </c>
      <c r="H28" s="2">
        <v>48000</v>
      </c>
      <c r="I28" s="2"/>
    </row>
    <row r="29" spans="1:9" x14ac:dyDescent="0.3">
      <c r="A29" s="2" t="s">
        <v>51</v>
      </c>
      <c r="B29" s="3">
        <v>46106.428668981483</v>
      </c>
      <c r="C29" s="2" t="s">
        <v>10</v>
      </c>
      <c r="D29" s="2" t="s">
        <v>15</v>
      </c>
      <c r="E29" s="2" t="s">
        <v>20</v>
      </c>
      <c r="F29" s="2">
        <v>7</v>
      </c>
      <c r="G29" s="2">
        <v>60000</v>
      </c>
      <c r="H29" s="2">
        <v>420000</v>
      </c>
      <c r="I29" s="2"/>
    </row>
    <row r="30" spans="1:9" x14ac:dyDescent="0.3">
      <c r="A30" s="2" t="s">
        <v>52</v>
      </c>
      <c r="B30" s="3">
        <v>46142.428668981483</v>
      </c>
      <c r="C30" s="2" t="s">
        <v>22</v>
      </c>
      <c r="D30" s="2" t="s">
        <v>19</v>
      </c>
      <c r="E30" s="2" t="s">
        <v>12</v>
      </c>
      <c r="F30" s="2">
        <v>3</v>
      </c>
      <c r="G30" s="2">
        <v>8000</v>
      </c>
      <c r="H30" s="2">
        <v>24000</v>
      </c>
      <c r="I30" s="2" t="s">
        <v>28</v>
      </c>
    </row>
    <row r="31" spans="1:9" x14ac:dyDescent="0.3">
      <c r="A31" s="2" t="s">
        <v>53</v>
      </c>
      <c r="B31" s="3">
        <v>46107.428668981483</v>
      </c>
      <c r="C31" s="2" t="s">
        <v>22</v>
      </c>
      <c r="D31" s="2" t="s">
        <v>19</v>
      </c>
      <c r="E31" s="2" t="s">
        <v>30</v>
      </c>
      <c r="F31" s="2">
        <v>2</v>
      </c>
      <c r="G31" s="2">
        <v>25000</v>
      </c>
      <c r="H31" s="2">
        <v>50000</v>
      </c>
      <c r="I31" s="2" t="s">
        <v>33</v>
      </c>
    </row>
    <row r="32" spans="1:9" x14ac:dyDescent="0.3">
      <c r="A32" s="2" t="s">
        <v>54</v>
      </c>
      <c r="B32" s="3">
        <v>46141.428668981483</v>
      </c>
      <c r="C32" s="2" t="s">
        <v>10</v>
      </c>
      <c r="D32" s="2" t="s">
        <v>15</v>
      </c>
      <c r="E32" s="2" t="s">
        <v>30</v>
      </c>
      <c r="F32" s="2">
        <v>4</v>
      </c>
      <c r="G32" s="2">
        <v>12000</v>
      </c>
      <c r="H32" s="2">
        <v>48000</v>
      </c>
      <c r="I32" s="2" t="s">
        <v>37</v>
      </c>
    </row>
    <row r="33" spans="1:9" x14ac:dyDescent="0.3">
      <c r="A33" s="2" t="s">
        <v>54</v>
      </c>
      <c r="B33" s="3">
        <v>46129.428668981483</v>
      </c>
      <c r="C33" s="2" t="s">
        <v>10</v>
      </c>
      <c r="D33" s="2" t="s">
        <v>19</v>
      </c>
      <c r="E33" s="2" t="s">
        <v>30</v>
      </c>
      <c r="F33" s="2">
        <v>7</v>
      </c>
      <c r="G33" s="2">
        <v>75000</v>
      </c>
      <c r="H33" s="2">
        <v>525000</v>
      </c>
      <c r="I33" s="2" t="s">
        <v>37</v>
      </c>
    </row>
    <row r="34" spans="1:9" x14ac:dyDescent="0.3">
      <c r="A34" s="2" t="s">
        <v>55</v>
      </c>
      <c r="B34" s="3">
        <v>46117.428668981483</v>
      </c>
      <c r="C34" s="2" t="s">
        <v>10</v>
      </c>
      <c r="D34" s="2" t="s">
        <v>19</v>
      </c>
      <c r="E34" s="2" t="s">
        <v>30</v>
      </c>
      <c r="F34" s="2">
        <v>7</v>
      </c>
      <c r="G34" s="2">
        <v>60000</v>
      </c>
      <c r="H34" s="2">
        <v>420000</v>
      </c>
      <c r="I34" s="2" t="s">
        <v>37</v>
      </c>
    </row>
    <row r="35" spans="1:9" x14ac:dyDescent="0.3">
      <c r="A35" s="2" t="s">
        <v>56</v>
      </c>
      <c r="B35" s="3">
        <v>46099.428668981483</v>
      </c>
      <c r="C35" s="2" t="s">
        <v>32</v>
      </c>
      <c r="D35" s="2" t="s">
        <v>11</v>
      </c>
      <c r="E35" s="2" t="s">
        <v>30</v>
      </c>
      <c r="F35" s="2">
        <v>5</v>
      </c>
      <c r="G35" s="2">
        <v>60000</v>
      </c>
      <c r="H35" s="2">
        <v>300000</v>
      </c>
      <c r="I35" s="2"/>
    </row>
    <row r="36" spans="1:9" x14ac:dyDescent="0.3">
      <c r="A36" s="2" t="s">
        <v>57</v>
      </c>
      <c r="B36" s="3">
        <v>46110.428668981483</v>
      </c>
      <c r="C36" s="2" t="s">
        <v>22</v>
      </c>
      <c r="D36" s="2" t="s">
        <v>15</v>
      </c>
      <c r="E36" s="2" t="s">
        <v>16</v>
      </c>
      <c r="F36" s="2">
        <v>8</v>
      </c>
      <c r="G36" s="2">
        <v>75000</v>
      </c>
      <c r="H36" s="2">
        <v>600000</v>
      </c>
      <c r="I36" s="2" t="s">
        <v>28</v>
      </c>
    </row>
    <row r="37" spans="1:9" x14ac:dyDescent="0.3">
      <c r="A37" s="2" t="s">
        <v>58</v>
      </c>
      <c r="B37" s="3">
        <v>46125.428668981483</v>
      </c>
      <c r="C37" s="2" t="s">
        <v>10</v>
      </c>
      <c r="D37" s="2" t="s">
        <v>19</v>
      </c>
      <c r="E37" s="2" t="s">
        <v>27</v>
      </c>
      <c r="F37" s="2">
        <v>1</v>
      </c>
      <c r="G37" s="2">
        <v>75000</v>
      </c>
      <c r="H37" s="2">
        <v>75000</v>
      </c>
      <c r="I37" s="2" t="s">
        <v>17</v>
      </c>
    </row>
    <row r="38" spans="1:9" x14ac:dyDescent="0.3">
      <c r="A38" s="2" t="s">
        <v>59</v>
      </c>
      <c r="B38" s="3">
        <v>46110.428668981483</v>
      </c>
      <c r="C38" s="2" t="s">
        <v>22</v>
      </c>
      <c r="D38" s="2" t="s">
        <v>15</v>
      </c>
      <c r="E38" s="2" t="s">
        <v>20</v>
      </c>
      <c r="F38" s="2">
        <v>10</v>
      </c>
      <c r="G38" s="2">
        <v>8000</v>
      </c>
      <c r="H38" s="2">
        <v>80000</v>
      </c>
      <c r="I38" s="2" t="s">
        <v>28</v>
      </c>
    </row>
    <row r="39" spans="1:9" x14ac:dyDescent="0.3">
      <c r="A39" s="2" t="s">
        <v>60</v>
      </c>
      <c r="B39" s="3">
        <v>46122.428668981483</v>
      </c>
      <c r="C39" s="2" t="s">
        <v>25</v>
      </c>
      <c r="D39" s="2" t="s">
        <v>15</v>
      </c>
      <c r="E39" s="2" t="s">
        <v>27</v>
      </c>
      <c r="F39" s="2">
        <v>3</v>
      </c>
      <c r="G39" s="2">
        <v>75000</v>
      </c>
      <c r="H39" s="2">
        <v>225000</v>
      </c>
      <c r="I39" s="2" t="s">
        <v>37</v>
      </c>
    </row>
    <row r="40" spans="1:9" x14ac:dyDescent="0.3">
      <c r="A40" s="2" t="s">
        <v>61</v>
      </c>
      <c r="B40" s="3">
        <v>46105.428668981483</v>
      </c>
      <c r="C40" s="2" t="s">
        <v>25</v>
      </c>
      <c r="D40" s="2" t="s">
        <v>15</v>
      </c>
      <c r="E40" s="2" t="s">
        <v>20</v>
      </c>
      <c r="F40" s="2">
        <v>5</v>
      </c>
      <c r="G40" s="2">
        <v>75000</v>
      </c>
      <c r="H40" s="2">
        <v>375000</v>
      </c>
      <c r="I40" s="2" t="s">
        <v>17</v>
      </c>
    </row>
    <row r="41" spans="1:9" x14ac:dyDescent="0.3">
      <c r="A41" s="2" t="s">
        <v>61</v>
      </c>
      <c r="B41" s="3">
        <v>46097.428668981483</v>
      </c>
      <c r="C41" s="2" t="s">
        <v>10</v>
      </c>
      <c r="D41" s="2" t="s">
        <v>11</v>
      </c>
      <c r="E41" s="2" t="s">
        <v>12</v>
      </c>
      <c r="F41" s="2">
        <v>3</v>
      </c>
      <c r="G41" s="2">
        <v>8000</v>
      </c>
      <c r="H41" s="2">
        <v>24000</v>
      </c>
      <c r="I41" s="2" t="s">
        <v>37</v>
      </c>
    </row>
    <row r="44" spans="1:9" x14ac:dyDescent="0.3">
      <c r="A44" t="s">
        <v>82</v>
      </c>
    </row>
    <row r="46" spans="1:9" ht="15" x14ac:dyDescent="0.35">
      <c r="A46" t="s">
        <v>102</v>
      </c>
    </row>
  </sheetData>
  <conditionalFormatting sqref="A2:I41">
    <cfRule type="expression" dxfId="31" priority="1">
      <formula>$F2*$G2&lt;&gt;$H2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Q.1</vt:lpstr>
      <vt:lpstr>Q2</vt:lpstr>
      <vt:lpstr>Q.3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Q.14</vt:lpstr>
      <vt:lpstr>Q15</vt:lpstr>
      <vt:lpstr>Q16</vt:lpstr>
      <vt:lpstr>Q.17</vt:lpstr>
      <vt:lpstr>Q18</vt:lpstr>
      <vt:lpstr>Q19</vt:lpstr>
      <vt:lpstr>Q20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Mahesh Pandhare</cp:lastModifiedBy>
  <dcterms:created xsi:type="dcterms:W3CDTF">2026-06-26T08:01:40Z</dcterms:created>
  <dcterms:modified xsi:type="dcterms:W3CDTF">2026-06-26T15:29:29Z</dcterms:modified>
</cp:coreProperties>
</file>