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hes\Downloads\"/>
    </mc:Choice>
  </mc:AlternateContent>
  <xr:revisionPtr revIDLastSave="0" documentId="8_{61E54109-3D92-4F8C-B823-CC95DA963EFA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9" l="1"/>
  <c r="M3" i="9"/>
  <c r="M4" i="9"/>
  <c r="M5" i="9"/>
  <c r="M6" i="9"/>
  <c r="M7" i="9"/>
  <c r="L3" i="8"/>
  <c r="L4" i="8"/>
  <c r="L5" i="8"/>
  <c r="L6" i="8"/>
  <c r="L7" i="8"/>
  <c r="L2" i="8"/>
  <c r="K3" i="7"/>
  <c r="K4" i="7"/>
  <c r="K5" i="7"/>
  <c r="K6" i="7"/>
  <c r="K7" i="7"/>
  <c r="K2" i="7"/>
  <c r="J3" i="6"/>
  <c r="J4" i="6"/>
  <c r="J5" i="6"/>
  <c r="J6" i="6"/>
  <c r="J7" i="6"/>
  <c r="J2" i="6"/>
  <c r="I3" i="5"/>
  <c r="I4" i="5"/>
  <c r="I5" i="5"/>
  <c r="I6" i="5"/>
  <c r="I7" i="5"/>
  <c r="I2" i="5"/>
  <c r="H3" i="4"/>
  <c r="H4" i="4"/>
  <c r="H5" i="4"/>
  <c r="H6" i="4"/>
  <c r="H7" i="4"/>
  <c r="H2" i="4"/>
  <c r="G3" i="3"/>
  <c r="G4" i="3"/>
  <c r="G5" i="3"/>
  <c r="G6" i="3"/>
  <c r="G7" i="3"/>
  <c r="G2" i="3"/>
  <c r="F3" i="2"/>
  <c r="F4" i="2"/>
  <c r="F5" i="2"/>
  <c r="F6" i="2"/>
  <c r="F7" i="2"/>
  <c r="F2" i="2"/>
</calcChain>
</file>

<file path=xl/sharedStrings.xml><?xml version="1.0" encoding="utf-8"?>
<sst xmlns="http://schemas.openxmlformats.org/spreadsheetml/2006/main" count="241" uniqueCount="31">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</sst>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workbookViewId="0">
      <selection activeCell="E17" sqref="A17:E17"/>
    </sheetView>
  </sheetViews>
  <sheetFormatPr defaultRowHeight="14.4" x14ac:dyDescent="0.3"/>
  <cols>
    <col min="1" max="1" width="12" style="1" customWidth="1"/>
    <col min="2" max="2" width="15" style="1" customWidth="1"/>
    <col min="3" max="4" width="10" style="1" customWidth="1"/>
    <col min="5" max="5" width="12" style="1" customWidth="1"/>
    <col min="6" max="6" width="11.6640625" customWidth="1"/>
    <col min="7" max="7" width="19.77734375" customWidth="1"/>
    <col min="8" max="8" width="13.5546875" customWidth="1"/>
    <col min="9" max="9" width="11.21875" customWidth="1"/>
    <col min="10" max="10" width="17.44140625" customWidth="1"/>
    <col min="11" max="11" width="11.5546875" customWidth="1"/>
    <col min="12" max="13" width="18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/>
      <c r="G2" s="3"/>
      <c r="H2" s="3"/>
      <c r="I2" s="3"/>
      <c r="J2" s="3"/>
      <c r="K2" s="3"/>
      <c r="L2" s="3"/>
      <c r="M2" s="4"/>
    </row>
    <row r="3" spans="1:13" x14ac:dyDescent="0.3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/>
      <c r="G3" s="3"/>
      <c r="H3" s="3"/>
      <c r="I3" s="3"/>
      <c r="J3" s="3"/>
      <c r="K3" s="3"/>
      <c r="L3" s="3"/>
      <c r="M3" s="4"/>
    </row>
    <row r="4" spans="1:13" x14ac:dyDescent="0.3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/>
      <c r="G4" s="3"/>
      <c r="H4" s="3"/>
      <c r="I4" s="3"/>
      <c r="J4" s="3"/>
      <c r="K4" s="3"/>
      <c r="L4" s="3"/>
      <c r="M4" s="4"/>
    </row>
    <row r="5" spans="1:13" x14ac:dyDescent="0.3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/>
      <c r="G5" s="3"/>
      <c r="H5" s="3"/>
      <c r="I5" s="3"/>
      <c r="J5" s="3"/>
      <c r="K5" s="3"/>
      <c r="L5" s="3"/>
      <c r="M5" s="4"/>
    </row>
    <row r="6" spans="1:13" x14ac:dyDescent="0.3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/>
      <c r="G6" s="3"/>
      <c r="H6" s="3"/>
      <c r="I6" s="3"/>
      <c r="J6" s="3"/>
      <c r="K6" s="3"/>
      <c r="L6" s="3"/>
      <c r="M6" s="4"/>
    </row>
    <row r="7" spans="1:13" x14ac:dyDescent="0.3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/>
      <c r="G7" s="3"/>
      <c r="H7" s="3"/>
      <c r="I7" s="3"/>
      <c r="J7" s="3"/>
      <c r="K7" s="3"/>
      <c r="L7" s="3"/>
      <c r="M7" s="4"/>
    </row>
    <row r="10" spans="1:13" x14ac:dyDescent="0.3">
      <c r="A10" s="1" t="s">
        <v>23</v>
      </c>
    </row>
    <row r="11" spans="1:13" x14ac:dyDescent="0.3">
      <c r="A11" s="1" t="s">
        <v>24</v>
      </c>
    </row>
    <row r="12" spans="1:13" x14ac:dyDescent="0.3">
      <c r="A12" s="1" t="s">
        <v>25</v>
      </c>
    </row>
    <row r="13" spans="1:13" x14ac:dyDescent="0.3">
      <c r="A13" s="1" t="s">
        <v>26</v>
      </c>
    </row>
    <row r="14" spans="1:13" ht="16.95" customHeight="1" x14ac:dyDescent="0.3">
      <c r="A14" s="6" t="s">
        <v>27</v>
      </c>
      <c r="B14" s="6"/>
      <c r="C14" s="6"/>
      <c r="D14" s="6"/>
      <c r="E14" s="6"/>
      <c r="F14" s="6"/>
      <c r="G14" s="6"/>
      <c r="H14" s="6"/>
      <c r="I14" s="6"/>
      <c r="J14" s="6"/>
    </row>
    <row r="15" spans="1:13" ht="16.5" customHeight="1" x14ac:dyDescent="0.3">
      <c r="A15" s="7" t="s">
        <v>28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3">
      <c r="A16" s="1" t="s">
        <v>29</v>
      </c>
    </row>
    <row r="17" spans="1:1" x14ac:dyDescent="0.3">
      <c r="A17" s="1" t="s">
        <v>30</v>
      </c>
    </row>
  </sheetData>
  <mergeCells count="2">
    <mergeCell ref="A14:J14"/>
    <mergeCell ref="A15:M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BF68-FF9B-47DF-B210-ABCA45CAA311}">
  <dimension ref="A1:M10"/>
  <sheetViews>
    <sheetView workbookViewId="0">
      <selection activeCell="B10" sqref="B10"/>
    </sheetView>
  </sheetViews>
  <sheetFormatPr defaultRowHeight="14.4" x14ac:dyDescent="0.3"/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 t="str">
        <f>IF(C2 &gt;= D2,"YES","NO")</f>
        <v>NO</v>
      </c>
      <c r="G2" s="3"/>
      <c r="H2" s="3"/>
      <c r="I2" s="3"/>
      <c r="J2" s="3"/>
      <c r="K2" s="3"/>
      <c r="L2" s="3"/>
      <c r="M2" s="4"/>
    </row>
    <row r="3" spans="1:13" x14ac:dyDescent="0.3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 t="str">
        <f t="shared" ref="F3:F7" si="0">IF(C3 &gt;= D3,"YES","NO")</f>
        <v>YES</v>
      </c>
      <c r="G3" s="3"/>
      <c r="H3" s="3"/>
      <c r="I3" s="3"/>
      <c r="J3" s="3"/>
      <c r="K3" s="3"/>
      <c r="L3" s="3"/>
      <c r="M3" s="4"/>
    </row>
    <row r="4" spans="1:13" x14ac:dyDescent="0.3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 t="str">
        <f t="shared" si="0"/>
        <v>YES</v>
      </c>
      <c r="G4" s="3"/>
      <c r="H4" s="3"/>
      <c r="I4" s="3"/>
      <c r="J4" s="3"/>
      <c r="K4" s="3"/>
      <c r="L4" s="3"/>
      <c r="M4" s="4"/>
    </row>
    <row r="5" spans="1:13" x14ac:dyDescent="0.3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 t="str">
        <f t="shared" si="0"/>
        <v>NO</v>
      </c>
      <c r="G5" s="3"/>
      <c r="H5" s="3"/>
      <c r="I5" s="3"/>
      <c r="J5" s="3"/>
      <c r="K5" s="3"/>
      <c r="L5" s="3"/>
      <c r="M5" s="4"/>
    </row>
    <row r="6" spans="1:13" x14ac:dyDescent="0.3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 t="str">
        <f t="shared" si="0"/>
        <v>YES</v>
      </c>
      <c r="G6" s="3"/>
      <c r="H6" s="3"/>
      <c r="I6" s="3"/>
      <c r="J6" s="3"/>
      <c r="K6" s="3"/>
      <c r="L6" s="3"/>
      <c r="M6" s="4"/>
    </row>
    <row r="7" spans="1:13" x14ac:dyDescent="0.3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 t="str">
        <f t="shared" si="0"/>
        <v>NO</v>
      </c>
      <c r="G7" s="3"/>
      <c r="H7" s="3"/>
      <c r="I7" s="3"/>
      <c r="J7" s="3"/>
      <c r="K7" s="3"/>
      <c r="L7" s="3"/>
      <c r="M7" s="4"/>
    </row>
    <row r="10" spans="1:13" x14ac:dyDescent="0.3">
      <c r="F10" s="1" t="s">
        <v>23</v>
      </c>
      <c r="G10" s="1"/>
      <c r="H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219C-7A80-424E-A244-076A5F48B2B6}">
  <dimension ref="A1:N11"/>
  <sheetViews>
    <sheetView workbookViewId="0">
      <selection activeCell="G2" sqref="G2:G7"/>
    </sheetView>
  </sheetViews>
  <sheetFormatPr defaultRowHeight="14.4" x14ac:dyDescent="0.3"/>
  <cols>
    <col min="7" max="7" width="21.44140625" bestFit="1" customWidth="1"/>
  </cols>
  <sheetData>
    <row r="1" spans="1:1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4" x14ac:dyDescent="0.3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/>
      <c r="G2" s="3" t="str">
        <f>IF(AND(E2="North",C2&gt;200)," Eligible ","Not Eligible")</f>
        <v>Not Eligible</v>
      </c>
      <c r="H2" s="3"/>
      <c r="I2" s="3"/>
      <c r="J2" s="3"/>
      <c r="K2" s="3"/>
      <c r="L2" s="3"/>
      <c r="M2" s="4"/>
    </row>
    <row r="3" spans="1:14" x14ac:dyDescent="0.3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/>
      <c r="G3" s="3" t="str">
        <f t="shared" ref="G3:G7" si="0">IF(AND(E3="North",C3&gt;200)," Eligible ","Not Eligible")</f>
        <v>Not Eligible</v>
      </c>
      <c r="H3" s="3"/>
      <c r="I3" s="3"/>
      <c r="J3" s="3"/>
      <c r="K3" s="3"/>
      <c r="L3" s="3"/>
      <c r="M3" s="4"/>
    </row>
    <row r="4" spans="1:14" x14ac:dyDescent="0.3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/>
      <c r="G4" s="3" t="str">
        <f t="shared" si="0"/>
        <v>Not Eligible</v>
      </c>
      <c r="H4" s="3"/>
      <c r="I4" s="3"/>
      <c r="J4" s="3"/>
      <c r="K4" s="3"/>
      <c r="L4" s="3"/>
      <c r="M4" s="4"/>
    </row>
    <row r="5" spans="1:14" x14ac:dyDescent="0.3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/>
      <c r="G5" s="3" t="str">
        <f t="shared" si="0"/>
        <v>Not Eligible</v>
      </c>
      <c r="H5" s="3"/>
      <c r="I5" s="3"/>
      <c r="J5" s="3"/>
      <c r="K5" s="3"/>
      <c r="L5" s="3"/>
      <c r="M5" s="4"/>
    </row>
    <row r="6" spans="1:14" x14ac:dyDescent="0.3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/>
      <c r="G6" s="3" t="str">
        <f t="shared" si="0"/>
        <v xml:space="preserve"> Eligible </v>
      </c>
      <c r="H6" s="3"/>
      <c r="I6" s="3"/>
      <c r="J6" s="3"/>
      <c r="K6" s="3"/>
      <c r="L6" s="3"/>
      <c r="M6" s="4"/>
    </row>
    <row r="7" spans="1:14" x14ac:dyDescent="0.3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/>
      <c r="G7" s="3" t="str">
        <f t="shared" si="0"/>
        <v>Not Eligible</v>
      </c>
      <c r="H7" s="3"/>
      <c r="I7" s="3"/>
      <c r="J7" s="3"/>
      <c r="K7" s="3"/>
      <c r="L7" s="3"/>
      <c r="M7" s="4"/>
    </row>
    <row r="11" spans="1:14" x14ac:dyDescent="0.3">
      <c r="J11" s="1" t="s">
        <v>24</v>
      </c>
      <c r="K11" s="1"/>
      <c r="L11" s="1"/>
      <c r="M11" s="1"/>
      <c r="N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C8A8-7259-43E7-94AC-1E5EF7127EE4}">
  <dimension ref="A1:O9"/>
  <sheetViews>
    <sheetView workbookViewId="0">
      <selection activeCell="J15" sqref="J15"/>
    </sheetView>
  </sheetViews>
  <sheetFormatPr defaultRowHeight="14.4" x14ac:dyDescent="0.3"/>
  <cols>
    <col min="8" max="8" width="15.5546875" bestFit="1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5" x14ac:dyDescent="0.3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/>
      <c r="G2" s="3"/>
      <c r="H2" s="3">
        <f>IF(C2&gt;=200,10%,IF(C2&gt;=150,7%,5%))</f>
        <v>0.05</v>
      </c>
      <c r="I2" s="3"/>
      <c r="J2" s="3"/>
      <c r="K2" s="3"/>
      <c r="L2" s="3"/>
      <c r="M2" s="4"/>
    </row>
    <row r="3" spans="1:15" x14ac:dyDescent="0.3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/>
      <c r="G3" s="3"/>
      <c r="H3" s="3">
        <f t="shared" ref="H3:H7" si="0">IF(C3&gt;=200,10%,IF(C3&gt;=150,7%,5%))</f>
        <v>7.0000000000000007E-2</v>
      </c>
      <c r="I3" s="3"/>
      <c r="J3" s="3"/>
      <c r="K3" s="3"/>
      <c r="L3" s="3"/>
      <c r="M3" s="4"/>
    </row>
    <row r="4" spans="1:15" x14ac:dyDescent="0.3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/>
      <c r="G4" s="3"/>
      <c r="H4" s="3">
        <f t="shared" si="0"/>
        <v>0.1</v>
      </c>
      <c r="I4" s="3"/>
      <c r="J4" s="3"/>
      <c r="K4" s="3"/>
      <c r="L4" s="3"/>
      <c r="M4" s="4"/>
    </row>
    <row r="5" spans="1:15" x14ac:dyDescent="0.3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/>
      <c r="G5" s="3"/>
      <c r="H5" s="3">
        <f t="shared" si="0"/>
        <v>0.05</v>
      </c>
      <c r="I5" s="3"/>
      <c r="J5" s="3"/>
      <c r="K5" s="3"/>
      <c r="L5" s="3"/>
      <c r="M5" s="4"/>
    </row>
    <row r="6" spans="1:15" x14ac:dyDescent="0.3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/>
      <c r="G6" s="3"/>
      <c r="H6" s="3">
        <f t="shared" si="0"/>
        <v>0.1</v>
      </c>
      <c r="I6" s="3"/>
      <c r="J6" s="3"/>
      <c r="K6" s="3"/>
      <c r="L6" s="3"/>
      <c r="M6" s="4"/>
    </row>
    <row r="7" spans="1:15" x14ac:dyDescent="0.3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/>
      <c r="G7" s="3"/>
      <c r="H7" s="3">
        <f t="shared" si="0"/>
        <v>0.05</v>
      </c>
      <c r="I7" s="3"/>
      <c r="J7" s="3"/>
      <c r="K7" s="3"/>
      <c r="L7" s="3"/>
      <c r="M7" s="4"/>
    </row>
    <row r="9" spans="1:15" x14ac:dyDescent="0.3">
      <c r="K9" s="1" t="s">
        <v>25</v>
      </c>
      <c r="L9" s="1"/>
      <c r="M9" s="1"/>
      <c r="N9" s="1"/>
      <c r="O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9BE6-B4C9-4B0F-B93B-A7026848BBD5}">
  <dimension ref="A1:M10"/>
  <sheetViews>
    <sheetView topLeftCell="B4" workbookViewId="0">
      <selection activeCell="K14" sqref="K14"/>
    </sheetView>
  </sheetViews>
  <sheetFormatPr defaultRowHeight="14.4" x14ac:dyDescent="0.3"/>
  <cols>
    <col min="9" max="9" width="13.6640625" bestFit="1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/>
      <c r="G2" s="3"/>
      <c r="H2" s="3"/>
      <c r="I2" s="3">
        <f>IF(C2 &gt;=D2, C2 * 10%,C2 * 5%)</f>
        <v>6</v>
      </c>
      <c r="J2" s="3"/>
      <c r="K2" s="3"/>
      <c r="L2" s="3"/>
      <c r="M2" s="4"/>
    </row>
    <row r="3" spans="1:13" x14ac:dyDescent="0.3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/>
      <c r="G3" s="3"/>
      <c r="H3" s="3"/>
      <c r="I3" s="3">
        <f t="shared" ref="I3:I7" si="0">IF(C3 &gt;=D3, C3 * 10%,C3 * 5%)</f>
        <v>15</v>
      </c>
      <c r="J3" s="3"/>
      <c r="K3" s="3"/>
      <c r="L3" s="3"/>
      <c r="M3" s="4"/>
    </row>
    <row r="4" spans="1:13" x14ac:dyDescent="0.3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/>
      <c r="G4" s="3"/>
      <c r="H4" s="3"/>
      <c r="I4" s="3">
        <f t="shared" si="0"/>
        <v>20</v>
      </c>
      <c r="J4" s="3"/>
      <c r="K4" s="3"/>
      <c r="L4" s="3"/>
      <c r="M4" s="4"/>
    </row>
    <row r="5" spans="1:13" x14ac:dyDescent="0.3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/>
      <c r="G5" s="3"/>
      <c r="H5" s="3"/>
      <c r="I5" s="3">
        <f t="shared" si="0"/>
        <v>4.5</v>
      </c>
      <c r="J5" s="3"/>
      <c r="K5" s="3"/>
      <c r="L5" s="3"/>
      <c r="M5" s="4"/>
    </row>
    <row r="6" spans="1:13" x14ac:dyDescent="0.3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/>
      <c r="G6" s="3"/>
      <c r="H6" s="3"/>
      <c r="I6" s="3">
        <f t="shared" si="0"/>
        <v>22</v>
      </c>
      <c r="J6" s="3"/>
      <c r="K6" s="3"/>
      <c r="L6" s="3"/>
      <c r="M6" s="4"/>
    </row>
    <row r="7" spans="1:13" x14ac:dyDescent="0.3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/>
      <c r="G7" s="3"/>
      <c r="H7" s="3"/>
      <c r="I7" s="3">
        <f t="shared" si="0"/>
        <v>6.5</v>
      </c>
      <c r="J7" s="3"/>
      <c r="K7" s="3"/>
      <c r="L7" s="3"/>
      <c r="M7" s="4"/>
    </row>
    <row r="10" spans="1:13" x14ac:dyDescent="0.3">
      <c r="H10" s="1" t="s">
        <v>26</v>
      </c>
      <c r="I10" s="1"/>
      <c r="J10" s="1"/>
      <c r="K10" s="1"/>
      <c r="L1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14D5-8E2F-4A90-AFE8-61D4AF5BEA0E}">
  <dimension ref="A1:M10"/>
  <sheetViews>
    <sheetView workbookViewId="0">
      <selection activeCell="L16" sqref="L16"/>
    </sheetView>
  </sheetViews>
  <sheetFormatPr defaultRowHeight="14.4" x14ac:dyDescent="0.3"/>
  <cols>
    <col min="10" max="10" width="11.88671875" bestFit="1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/>
      <c r="G2" s="3"/>
      <c r="H2" s="3"/>
      <c r="I2" s="3"/>
      <c r="J2" s="3" t="str">
        <f>IF(C2 &gt;= 200,"Excellent", IF(C2 &gt;= 150,"Good", "needs"))</f>
        <v>needs</v>
      </c>
      <c r="K2" s="3"/>
      <c r="L2" s="3"/>
      <c r="M2" s="4"/>
    </row>
    <row r="3" spans="1:13" x14ac:dyDescent="0.3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/>
      <c r="G3" s="3"/>
      <c r="H3" s="3"/>
      <c r="I3" s="3"/>
      <c r="J3" s="3" t="str">
        <f t="shared" ref="J3:J7" si="0">IF(C3 &gt;= 200,"Excellent", IF(C3 &gt;= 150,"Good", "needs"))</f>
        <v>Good</v>
      </c>
      <c r="K3" s="3"/>
      <c r="L3" s="3"/>
      <c r="M3" s="4"/>
    </row>
    <row r="4" spans="1:13" x14ac:dyDescent="0.3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/>
      <c r="G4" s="3"/>
      <c r="H4" s="3"/>
      <c r="I4" s="3"/>
      <c r="J4" s="3" t="str">
        <f t="shared" si="0"/>
        <v>Excellent</v>
      </c>
      <c r="K4" s="3"/>
      <c r="L4" s="3"/>
      <c r="M4" s="4"/>
    </row>
    <row r="5" spans="1:13" x14ac:dyDescent="0.3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/>
      <c r="G5" s="3"/>
      <c r="H5" s="3"/>
      <c r="I5" s="3"/>
      <c r="J5" s="3" t="str">
        <f t="shared" si="0"/>
        <v>needs</v>
      </c>
      <c r="K5" s="3"/>
      <c r="L5" s="3"/>
      <c r="M5" s="4"/>
    </row>
    <row r="6" spans="1:13" x14ac:dyDescent="0.3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/>
      <c r="G6" s="3"/>
      <c r="H6" s="3"/>
      <c r="I6" s="3"/>
      <c r="J6" s="3" t="str">
        <f t="shared" si="0"/>
        <v>Excellent</v>
      </c>
      <c r="K6" s="3"/>
      <c r="L6" s="3"/>
      <c r="M6" s="4"/>
    </row>
    <row r="7" spans="1:13" x14ac:dyDescent="0.3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/>
      <c r="G7" s="3"/>
      <c r="H7" s="3"/>
      <c r="I7" s="3"/>
      <c r="J7" s="3" t="str">
        <f t="shared" si="0"/>
        <v>needs</v>
      </c>
      <c r="K7" s="3"/>
      <c r="L7" s="3"/>
      <c r="M7" s="4"/>
    </row>
    <row r="10" spans="1:13" x14ac:dyDescent="0.3">
      <c r="B10" s="6" t="s">
        <v>27</v>
      </c>
      <c r="C10" s="6"/>
      <c r="D10" s="6"/>
      <c r="E10" s="6"/>
      <c r="F10" s="6"/>
      <c r="G10" s="6"/>
      <c r="H10" s="6"/>
      <c r="I10" s="6"/>
      <c r="J10" s="6"/>
      <c r="K10" s="6"/>
    </row>
  </sheetData>
  <mergeCells count="1">
    <mergeCell ref="B10:K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7068-4343-4D2E-867D-16CC8CF25B53}">
  <dimension ref="A1:N11"/>
  <sheetViews>
    <sheetView topLeftCell="B1" workbookViewId="0">
      <selection activeCell="K9" sqref="K9"/>
    </sheetView>
  </sheetViews>
  <sheetFormatPr defaultRowHeight="14.4" x14ac:dyDescent="0.3"/>
  <cols>
    <col min="11" max="11" width="11.33203125" customWidth="1"/>
  </cols>
  <sheetData>
    <row r="1" spans="1:1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4" x14ac:dyDescent="0.3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/>
      <c r="G2" s="3"/>
      <c r="H2" s="3"/>
      <c r="I2" s="3"/>
      <c r="J2" s="3"/>
      <c r="K2" s="3" t="str">
        <f>IF(C2 &gt;200,"high", IF(C2 &gt;= 100,"Medium","low"))</f>
        <v>Medium</v>
      </c>
      <c r="L2" s="3"/>
      <c r="M2" s="4"/>
    </row>
    <row r="3" spans="1:14" x14ac:dyDescent="0.3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/>
      <c r="G3" s="3"/>
      <c r="H3" s="3"/>
      <c r="I3" s="3"/>
      <c r="J3" s="3"/>
      <c r="K3" s="3" t="str">
        <f t="shared" ref="K3:K7" si="0">IF(C3 &gt;200,"high", IF(C3 &gt;= 100,"Medium","low"))</f>
        <v>Medium</v>
      </c>
      <c r="L3" s="3"/>
      <c r="M3" s="4"/>
    </row>
    <row r="4" spans="1:14" x14ac:dyDescent="0.3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/>
      <c r="G4" s="3"/>
      <c r="H4" s="3"/>
      <c r="I4" s="3"/>
      <c r="J4" s="3"/>
      <c r="K4" s="3" t="str">
        <f t="shared" si="0"/>
        <v>Medium</v>
      </c>
      <c r="L4" s="3"/>
      <c r="M4" s="4"/>
    </row>
    <row r="5" spans="1:14" x14ac:dyDescent="0.3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/>
      <c r="G5" s="3"/>
      <c r="H5" s="3"/>
      <c r="I5" s="3"/>
      <c r="J5" s="3"/>
      <c r="K5" s="3" t="str">
        <f t="shared" si="0"/>
        <v>low</v>
      </c>
      <c r="L5" s="3"/>
      <c r="M5" s="4"/>
    </row>
    <row r="6" spans="1:14" x14ac:dyDescent="0.3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/>
      <c r="G6" s="3"/>
      <c r="H6" s="3"/>
      <c r="I6" s="3"/>
      <c r="J6" s="3"/>
      <c r="K6" s="3" t="str">
        <f t="shared" si="0"/>
        <v>high</v>
      </c>
      <c r="L6" s="3"/>
      <c r="M6" s="4"/>
    </row>
    <row r="7" spans="1:14" x14ac:dyDescent="0.3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/>
      <c r="G7" s="3"/>
      <c r="H7" s="3"/>
      <c r="I7" s="3"/>
      <c r="J7" s="3"/>
      <c r="K7" s="3" t="str">
        <f t="shared" si="0"/>
        <v>Medium</v>
      </c>
      <c r="L7" s="3"/>
      <c r="M7" s="4"/>
    </row>
    <row r="11" spans="1:14" x14ac:dyDescent="0.3">
      <c r="B11" s="7" t="s">
        <v>28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</sheetData>
  <mergeCells count="1">
    <mergeCell ref="B11:N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B7BE-BF62-4E58-A208-E0E0C2EED6F8}">
  <dimension ref="A1:M9"/>
  <sheetViews>
    <sheetView workbookViewId="0">
      <selection activeCell="L3" sqref="L3"/>
    </sheetView>
  </sheetViews>
  <sheetFormatPr defaultRowHeight="14.4" x14ac:dyDescent="0.3"/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/>
      <c r="G2" s="3"/>
      <c r="H2" s="3"/>
      <c r="I2" s="3"/>
      <c r="J2" s="3"/>
      <c r="K2" s="3"/>
      <c r="L2" s="3" t="str">
        <f>IF(AND(C2 &gt;= 150, E2 ="North" ), "$500","$300")</f>
        <v>$300</v>
      </c>
      <c r="M2" s="4"/>
    </row>
    <row r="3" spans="1:13" x14ac:dyDescent="0.3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/>
      <c r="G3" s="3"/>
      <c r="H3" s="3"/>
      <c r="I3" s="3"/>
      <c r="J3" s="3"/>
      <c r="K3" s="3"/>
      <c r="L3" s="3" t="str">
        <f t="shared" ref="L3:L8" si="0">IF(AND(C3 &gt;= 150, E3 ="North" ), "$500","$300")</f>
        <v>$300</v>
      </c>
      <c r="M3" s="4"/>
    </row>
    <row r="4" spans="1:13" x14ac:dyDescent="0.3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/>
      <c r="G4" s="3"/>
      <c r="H4" s="3"/>
      <c r="I4" s="3"/>
      <c r="J4" s="3"/>
      <c r="K4" s="3"/>
      <c r="L4" s="3" t="str">
        <f t="shared" si="0"/>
        <v>$300</v>
      </c>
      <c r="M4" s="4"/>
    </row>
    <row r="5" spans="1:13" x14ac:dyDescent="0.3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/>
      <c r="G5" s="3"/>
      <c r="H5" s="3"/>
      <c r="I5" s="3"/>
      <c r="J5" s="3"/>
      <c r="K5" s="3"/>
      <c r="L5" s="3" t="str">
        <f t="shared" si="0"/>
        <v>$300</v>
      </c>
      <c r="M5" s="4"/>
    </row>
    <row r="6" spans="1:13" x14ac:dyDescent="0.3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/>
      <c r="G6" s="3"/>
      <c r="H6" s="3"/>
      <c r="I6" s="3"/>
      <c r="J6" s="3"/>
      <c r="K6" s="3"/>
      <c r="L6" s="3" t="str">
        <f t="shared" si="0"/>
        <v>$500</v>
      </c>
      <c r="M6" s="4"/>
    </row>
    <row r="7" spans="1:13" x14ac:dyDescent="0.3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/>
      <c r="G7" s="3"/>
      <c r="H7" s="3"/>
      <c r="I7" s="3"/>
      <c r="J7" s="3"/>
      <c r="K7" s="3"/>
      <c r="L7" s="3" t="str">
        <f t="shared" si="0"/>
        <v>$300</v>
      </c>
      <c r="M7" s="4"/>
    </row>
    <row r="8" spans="1:13" x14ac:dyDescent="0.3">
      <c r="L8" s="3"/>
    </row>
    <row r="9" spans="1:13" x14ac:dyDescent="0.3">
      <c r="G9" s="1" t="s">
        <v>29</v>
      </c>
      <c r="H9" s="1"/>
      <c r="I9" s="1"/>
      <c r="J9" s="1"/>
      <c r="K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C31B-66D5-43E8-BF1C-B8EFB6F78922}">
  <dimension ref="A1:M11"/>
  <sheetViews>
    <sheetView tabSelected="1" workbookViewId="0">
      <selection activeCell="M16" sqref="M16"/>
    </sheetView>
  </sheetViews>
  <sheetFormatPr defaultRowHeight="14.4" x14ac:dyDescent="0.3"/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/>
      <c r="G2" s="3"/>
      <c r="H2" s="3"/>
      <c r="I2" s="3"/>
      <c r="J2" s="3"/>
      <c r="K2" s="3"/>
      <c r="L2" s="3"/>
      <c r="M2" s="4" t="str">
        <f>IF(C2 &gt;= PERCENTILE(C2:C7, 0.75),"yes ","No")</f>
        <v>No</v>
      </c>
    </row>
    <row r="3" spans="1:13" x14ac:dyDescent="0.3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/>
      <c r="G3" s="3"/>
      <c r="H3" s="3"/>
      <c r="I3" s="3"/>
      <c r="J3" s="3"/>
      <c r="K3" s="3"/>
      <c r="L3" s="3"/>
      <c r="M3" s="4" t="str">
        <f t="shared" ref="M3:M7" si="0">IF(C3 &gt;= PERCENTILE(C3:C8, 0.75),"yes ","No")</f>
        <v>No</v>
      </c>
    </row>
    <row r="4" spans="1:13" x14ac:dyDescent="0.3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/>
      <c r="G4" s="3"/>
      <c r="H4" s="3"/>
      <c r="I4" s="3"/>
      <c r="J4" s="3"/>
      <c r="K4" s="3"/>
      <c r="L4" s="3"/>
      <c r="M4" s="4" t="str">
        <f t="shared" si="0"/>
        <v>No</v>
      </c>
    </row>
    <row r="5" spans="1:13" x14ac:dyDescent="0.3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/>
      <c r="G5" s="3"/>
      <c r="H5" s="3"/>
      <c r="I5" s="3"/>
      <c r="J5" s="3"/>
      <c r="K5" s="3"/>
      <c r="L5" s="3"/>
      <c r="M5" s="4" t="str">
        <f t="shared" si="0"/>
        <v>No</v>
      </c>
    </row>
    <row r="6" spans="1:13" x14ac:dyDescent="0.3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/>
      <c r="G6" s="3"/>
      <c r="H6" s="3"/>
      <c r="I6" s="3"/>
      <c r="J6" s="3"/>
      <c r="K6" s="3"/>
      <c r="L6" s="3"/>
      <c r="M6" s="4" t="str">
        <f t="shared" si="0"/>
        <v xml:space="preserve">yes </v>
      </c>
    </row>
    <row r="7" spans="1:13" x14ac:dyDescent="0.3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/>
      <c r="G7" s="3"/>
      <c r="H7" s="3"/>
      <c r="I7" s="3"/>
      <c r="J7" s="3"/>
      <c r="K7" s="3"/>
      <c r="L7" s="3"/>
      <c r="M7" s="4" t="str">
        <f t="shared" si="0"/>
        <v xml:space="preserve">yes </v>
      </c>
    </row>
    <row r="11" spans="1:13" x14ac:dyDescent="0.3">
      <c r="G11" s="1" t="s">
        <v>30</v>
      </c>
      <c r="H11" s="1"/>
      <c r="I11" s="1"/>
      <c r="J11" s="1"/>
      <c r="K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Mahesh Pandhare</cp:lastModifiedBy>
  <dcterms:created xsi:type="dcterms:W3CDTF">2026-07-02T07:21:34Z</dcterms:created>
  <dcterms:modified xsi:type="dcterms:W3CDTF">2026-07-02T09:12:58Z</dcterms:modified>
</cp:coreProperties>
</file>